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5234EAE-254E-42DA-B3D5-0F55CCF758C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sli funksiyasi" sheetId="1" r:id="rId1"/>
    <sheet name="eslifunksiyasi" sheetId="2" r:id="rId2"/>
    <sheet name="esliili" sheetId="3" r:id="rId3"/>
    <sheet name="Лист2" sheetId="6" r:id="rId4"/>
    <sheet name="eslioshibka" sheetId="4" r:id="rId5"/>
    <sheet name="Лист1" sheetId="5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6" i="2"/>
  <c r="E6" i="1"/>
  <c r="E7" i="1"/>
  <c r="E8" i="1"/>
</calcChain>
</file>

<file path=xl/sharedStrings.xml><?xml version="1.0" encoding="utf-8"?>
<sst xmlns="http://schemas.openxmlformats.org/spreadsheetml/2006/main" count="107" uniqueCount="39">
  <si>
    <t>F.I.O</t>
  </si>
  <si>
    <t>Rejani bajarish ko'rsatkichi</t>
  </si>
  <si>
    <t>Taqdirlash mln so'm</t>
  </si>
  <si>
    <t>Mahkamova Saodat Jo'rabek Qizi</t>
  </si>
  <si>
    <t>Muratov Doniyor To'rabek O'g'li</t>
  </si>
  <si>
    <t>Maxmudov Valijon Sharof O'g'li</t>
  </si>
  <si>
    <t xml:space="preserve">Vohidov Arslon Husanovich </t>
  </si>
  <si>
    <t>Lochinov Jasur Temurovich</t>
  </si>
  <si>
    <t>Po'latov Botir Hakimovich</t>
  </si>
  <si>
    <t>Tursinboyev Ulug'bek Jamshidxon O'g'li</t>
  </si>
  <si>
    <t>Turdiyev Furqat Toshbek o'g'li</t>
  </si>
  <si>
    <t>Olimova Jamila Temur qizi</t>
  </si>
  <si>
    <t>Sattorov Farrux Ravshanovich</t>
  </si>
  <si>
    <t>Rejani   80 % dan ko'p bajargan va  ish tajribasi 3 yildan ko'p bo'lganlarga 5 million</t>
  </si>
  <si>
    <t>Agar talablar bajarilmasa shunchaki  3million som mukofot</t>
  </si>
  <si>
    <t>Ish tajribasi yil</t>
  </si>
  <si>
    <t>Ishchilar toifasi</t>
  </si>
  <si>
    <t xml:space="preserve">Oliy </t>
  </si>
  <si>
    <t>Birinchi</t>
  </si>
  <si>
    <t>O'rta</t>
  </si>
  <si>
    <t>Ish haqi</t>
  </si>
  <si>
    <t xml:space="preserve">Topshiriq toifasi Oliy yoki birinchi bo'lgan ishchilar 1 million so'm </t>
  </si>
  <si>
    <t>Reja</t>
  </si>
  <si>
    <t>Amalda</t>
  </si>
  <si>
    <t>FERMER XOJALIGI INN</t>
  </si>
  <si>
    <t>XOJALIK NOMI</t>
  </si>
  <si>
    <t>INNN</t>
  </si>
  <si>
    <t>"QUDUQSOY FERMER XOJALIGI"   2343243</t>
  </si>
  <si>
    <t>"ABBOSBEK PAXTAKORI" FERMER XOJALIGI   32422424</t>
  </si>
  <si>
    <t>"AGRO FAYZ " FERMER XOJALIGI       8859595</t>
  </si>
  <si>
    <t>"BANDIXON BURGUTI " FERMER XOJALIGI    12131334</t>
  </si>
  <si>
    <t xml:space="preserve">"OLTINSOY"   FERMER XOJALIGI      1244444 </t>
  </si>
  <si>
    <t>Общий итог</t>
  </si>
  <si>
    <t>Сумма по полю Amalda</t>
  </si>
  <si>
    <t>Сумма по полю Reja</t>
  </si>
  <si>
    <t>reja berilmagan edi</t>
  </si>
  <si>
    <t/>
  </si>
  <si>
    <t>я</t>
  </si>
  <si>
    <t xml:space="preserve">Rejani bajarilgani  
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</si>
</sst>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soʻm-443]"/>
    <numFmt numFmtId="165" formatCode="#,##0\ [$soʻm-443]"/>
  </numFmts>
  <fonts count="2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0" xfId="0" applyFont="1" applyFill="1"/>
    <xf numFmtId="164" fontId="0" fillId="2" borderId="1" xfId="0" applyNumberForma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1" xfId="0" applyNumberFormat="1" applyBorder="1"/>
    <xf numFmtId="0" fontId="0" fillId="2" borderId="2" xfId="0" applyFill="1" applyBorder="1" applyAlignment="1">
      <alignment horizontal="center" vertical="center" wrapText="1"/>
    </xf>
    <xf numFmtId="1" fontId="0" fillId="0" borderId="0" xfId="0" applyNumberFormat="1"/>
    <xf numFmtId="1" fontId="0" fillId="2" borderId="1" xfId="0" applyNumberFormat="1" applyFill="1" applyBorder="1" applyAlignment="1">
      <alignment horizontal="center" vertical="center" wrapText="1"/>
    </xf>
    <xf numFmtId="1" fontId="0" fillId="0" borderId="1" xfId="0" applyNumberFormat="1" applyBorder="1"/>
    <xf numFmtId="9" fontId="0" fillId="0" borderId="0" xfId="0" applyNumberFormat="1"/>
    <xf numFmtId="9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RONOV" refreshedDate="44796.532872222226" createdVersion="6" refreshedVersion="6" minRefreshableVersion="3" recordCount="29" xr:uid="{50B56D8A-AACA-44EF-B2D7-F21F50470454}">
  <cacheSource type="worksheet">
    <worksheetSource ref="G3:J32" sheet="eslioshibka"/>
  </cacheSource>
  <cacheFields count="5">
    <cacheField name="F.I.O" numFmtId="0">
      <sharedItems count="10">
        <s v="Mahkamova Saodat Jo'rabek Qizi"/>
        <s v="Muratov Doniyor To'rabek O'g'li"/>
        <s v="Maxmudov Valijon Sharof O'g'li"/>
        <s v="Lochinov Jasur Temurovich"/>
        <s v="Po'latov Botir Hakimovich"/>
        <s v="Tursinboyev Ulug'bek Jamshidxon O'g'li"/>
        <s v="Turdiyev Furqat Toshbek o'g'li"/>
        <s v="Olimova Jamila Temur qizi"/>
        <s v="Sattorov Farrux Ravshanovich"/>
        <s v="Vohidov Arslon Husanovich "/>
      </sharedItems>
    </cacheField>
    <cacheField name="Reja" numFmtId="1">
      <sharedItems containsString="0" containsBlank="1" containsNumber="1" containsInteger="1" minValue="3246" maxValue="834135"/>
    </cacheField>
    <cacheField name="Amalda" numFmtId="0">
      <sharedItems containsSemiMixedTypes="0" containsString="0" containsNumber="1" containsInteger="1" minValue="233" maxValue="444545"/>
    </cacheField>
    <cacheField name="Rejani bajarilgani   (1-usul)" numFmtId="9">
      <sharedItems containsMixedTypes="1" containsNumber="1" minValue="6.5121353258165643E-3" maxValue="0.99746718857932304" count="8">
        <n v="0.45731935604642454"/>
        <n v="0.99746718857932304"/>
        <n v="0.40946843853820597"/>
        <n v="0.68792359827479976"/>
        <n v="1.8870980805053859E-2"/>
        <n v="3.3857850070721361E-2"/>
        <s v="reja berilmagan edi"/>
        <n v="6.5121353258165643E-3"/>
      </sharedItems>
    </cacheField>
    <cacheField name="Rejani bajarilgani     (2-usul)" numFmtId="9">
      <sharedItems containsMixedTypes="1" containsNumber="1" minValue="6.5121353258165643E-3" maxValue="0.997467188579323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342"/>
    <n v="2443"/>
    <x v="0"/>
    <n v="0.45731935604642454"/>
  </r>
  <r>
    <x v="1"/>
    <n v="4343"/>
    <n v="4332"/>
    <x v="1"/>
    <n v="0.99746718857932304"/>
  </r>
  <r>
    <x v="2"/>
    <n v="13244"/>
    <n v="5423"/>
    <x v="2"/>
    <n v="0.40946843853820597"/>
  </r>
  <r>
    <x v="3"/>
    <n v="3246"/>
    <n v="2233"/>
    <x v="3"/>
    <n v="0.68792359827479976"/>
  </r>
  <r>
    <x v="4"/>
    <n v="12347"/>
    <n v="233"/>
    <x v="4"/>
    <n v="1.8870980805053859E-2"/>
  </r>
  <r>
    <x v="5"/>
    <n v="45248"/>
    <n v="1532"/>
    <x v="5"/>
    <n v="3.3857850070721361E-2"/>
  </r>
  <r>
    <x v="6"/>
    <m/>
    <n v="34325"/>
    <x v="6"/>
    <s v="Rejasi yoq edi"/>
  </r>
  <r>
    <x v="7"/>
    <m/>
    <n v="44332"/>
    <x v="6"/>
    <s v="Rejasi yoq edi"/>
  </r>
  <r>
    <x v="8"/>
    <m/>
    <n v="444545"/>
    <x v="6"/>
    <s v="Rejasi yoq edi"/>
  </r>
  <r>
    <x v="0"/>
    <n v="5342"/>
    <n v="2443"/>
    <x v="0"/>
    <n v="0.45731935604642454"/>
  </r>
  <r>
    <x v="1"/>
    <n v="4343"/>
    <n v="4332"/>
    <x v="1"/>
    <n v="0.99746718857932304"/>
  </r>
  <r>
    <x v="2"/>
    <n v="13244"/>
    <n v="5423"/>
    <x v="2"/>
    <n v="0.40946843853820597"/>
  </r>
  <r>
    <x v="9"/>
    <n v="834135"/>
    <n v="5432"/>
    <x v="7"/>
    <n v="6.5121353258165643E-3"/>
  </r>
  <r>
    <x v="3"/>
    <n v="3246"/>
    <n v="2233"/>
    <x v="3"/>
    <n v="0.68792359827479976"/>
  </r>
  <r>
    <x v="4"/>
    <n v="12347"/>
    <n v="233"/>
    <x v="4"/>
    <n v="1.8870980805053859E-2"/>
  </r>
  <r>
    <x v="5"/>
    <n v="45248"/>
    <n v="1532"/>
    <x v="5"/>
    <n v="3.3857850070721361E-2"/>
  </r>
  <r>
    <x v="6"/>
    <m/>
    <n v="34325"/>
    <x v="6"/>
    <s v="Rejasi yoq edi"/>
  </r>
  <r>
    <x v="7"/>
    <m/>
    <n v="44332"/>
    <x v="6"/>
    <s v="Rejasi yoq edi"/>
  </r>
  <r>
    <x v="8"/>
    <m/>
    <n v="444545"/>
    <x v="6"/>
    <s v="Rejasi yoq edi"/>
  </r>
  <r>
    <x v="0"/>
    <n v="5342"/>
    <n v="2443"/>
    <x v="0"/>
    <n v="0.45731935604642454"/>
  </r>
  <r>
    <x v="1"/>
    <n v="4343"/>
    <n v="4332"/>
    <x v="1"/>
    <n v="0.99746718857932304"/>
  </r>
  <r>
    <x v="2"/>
    <n v="13244"/>
    <n v="5423"/>
    <x v="2"/>
    <n v="0.40946843853820597"/>
  </r>
  <r>
    <x v="9"/>
    <n v="834135"/>
    <n v="5432"/>
    <x v="7"/>
    <n v="6.5121353258165643E-3"/>
  </r>
  <r>
    <x v="3"/>
    <n v="3246"/>
    <n v="2233"/>
    <x v="3"/>
    <n v="0.68792359827479976"/>
  </r>
  <r>
    <x v="4"/>
    <n v="12347"/>
    <n v="233"/>
    <x v="4"/>
    <n v="1.8870980805053859E-2"/>
  </r>
  <r>
    <x v="5"/>
    <n v="45248"/>
    <n v="1532"/>
    <x v="5"/>
    <n v="3.3857850070721361E-2"/>
  </r>
  <r>
    <x v="6"/>
    <m/>
    <n v="34325"/>
    <x v="6"/>
    <s v="Rejasi yoq edi"/>
  </r>
  <r>
    <x v="7"/>
    <m/>
    <n v="44332"/>
    <x v="6"/>
    <s v="Rejasi yoq edi"/>
  </r>
  <r>
    <x v="8"/>
    <m/>
    <n v="444545"/>
    <x v="6"/>
    <s v="Rejasi yoq ed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8CD4B-2BCF-4239-BF91-8C0E638DB9A9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">
  <location ref="A3:C24" firstHeaderRow="0" firstDataRow="1" firstDataCol="1"/>
  <pivotFields count="5">
    <pivotField axis="axisRow" showAll="0">
      <items count="11">
        <item x="3"/>
        <item x="0"/>
        <item x="2"/>
        <item x="1"/>
        <item x="7"/>
        <item x="4"/>
        <item x="8"/>
        <item x="6"/>
        <item x="5"/>
        <item x="9"/>
        <item t="default"/>
      </items>
    </pivotField>
    <pivotField dataField="1" showAll="0"/>
    <pivotField dataField="1" showAll="0"/>
    <pivotField axis="axisRow" showAll="0">
      <items count="9">
        <item x="7"/>
        <item x="4"/>
        <item x="5"/>
        <item x="2"/>
        <item x="0"/>
        <item x="3"/>
        <item x="1"/>
        <item x="6"/>
        <item t="default"/>
      </items>
    </pivotField>
    <pivotField showAll="0"/>
  </pivotFields>
  <rowFields count="2">
    <field x="0"/>
    <field x="3"/>
  </rowFields>
  <rowItems count="21">
    <i>
      <x/>
    </i>
    <i r="1">
      <x v="5"/>
    </i>
    <i>
      <x v="1"/>
    </i>
    <i r="1">
      <x v="4"/>
    </i>
    <i>
      <x v="2"/>
    </i>
    <i r="1">
      <x v="3"/>
    </i>
    <i>
      <x v="3"/>
    </i>
    <i r="1">
      <x v="6"/>
    </i>
    <i>
      <x v="4"/>
    </i>
    <i r="1">
      <x v="7"/>
    </i>
    <i>
      <x v="5"/>
    </i>
    <i r="1">
      <x v="1"/>
    </i>
    <i>
      <x v="6"/>
    </i>
    <i r="1">
      <x v="7"/>
    </i>
    <i>
      <x v="7"/>
    </i>
    <i r="1">
      <x v="7"/>
    </i>
    <i>
      <x v="8"/>
    </i>
    <i r="1">
      <x v="2"/>
    </i>
    <i>
      <x v="9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Amalda" fld="2" baseField="0" baseItem="0"/>
    <dataField name="Сумма по полю Rej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E8"/>
  <sheetViews>
    <sheetView topLeftCell="A2" zoomScale="145" zoomScaleNormal="145" workbookViewId="0">
      <selection activeCell="D6" sqref="D6"/>
    </sheetView>
  </sheetViews>
  <sheetFormatPr defaultRowHeight="15" x14ac:dyDescent="0.25"/>
  <cols>
    <col min="3" max="3" width="36.5703125" bestFit="1" customWidth="1"/>
    <col min="4" max="4" width="11.7109375" customWidth="1"/>
    <col min="5" max="5" width="13.85546875" bestFit="1" customWidth="1"/>
  </cols>
  <sheetData>
    <row r="5" spans="3:5" ht="45" x14ac:dyDescent="0.25">
      <c r="C5" s="3" t="s">
        <v>0</v>
      </c>
      <c r="D5" s="4" t="s">
        <v>1</v>
      </c>
      <c r="E5" s="4" t="s">
        <v>2</v>
      </c>
    </row>
    <row r="6" spans="3:5" x14ac:dyDescent="0.25">
      <c r="C6" s="1" t="s">
        <v>3</v>
      </c>
      <c r="D6" s="2">
        <v>0.9</v>
      </c>
      <c r="E6" s="1" t="str">
        <f>IF(D6&gt;=90%,"3 million so'm","mukofot yo'q")</f>
        <v>3 million so'm</v>
      </c>
    </row>
    <row r="7" spans="3:5" x14ac:dyDescent="0.25">
      <c r="C7" s="1" t="s">
        <v>4</v>
      </c>
      <c r="D7" s="2">
        <v>0.59</v>
      </c>
      <c r="E7" s="1" t="str">
        <f t="shared" ref="E7:E8" si="0">IF(D7&gt;90%,"3 million so'm","mukofot yo'q")</f>
        <v>mukofot yo'q</v>
      </c>
    </row>
    <row r="8" spans="3:5" x14ac:dyDescent="0.25">
      <c r="C8" s="1" t="s">
        <v>5</v>
      </c>
      <c r="D8" s="2">
        <v>0.99</v>
      </c>
      <c r="E8" s="1" t="str">
        <f t="shared" si="0"/>
        <v>3 million so'm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AA30-977D-47B2-BEBF-5A3F0F7C4CCF}">
  <dimension ref="D6:R16"/>
  <sheetViews>
    <sheetView topLeftCell="B6" zoomScale="190" zoomScaleNormal="190" workbookViewId="0">
      <selection activeCell="G7" sqref="G7"/>
    </sheetView>
  </sheetViews>
  <sheetFormatPr defaultRowHeight="15" x14ac:dyDescent="0.25"/>
  <cols>
    <col min="4" max="4" width="36.5703125" bestFit="1" customWidth="1"/>
    <col min="5" max="5" width="8.42578125" bestFit="1" customWidth="1"/>
    <col min="6" max="6" width="8.42578125" customWidth="1"/>
    <col min="7" max="7" width="21.7109375" bestFit="1" customWidth="1"/>
    <col min="11" max="11" width="121.85546875" bestFit="1" customWidth="1"/>
  </cols>
  <sheetData>
    <row r="6" spans="4:18" ht="60" x14ac:dyDescent="0.25">
      <c r="D6" s="3" t="s">
        <v>0</v>
      </c>
      <c r="E6" s="4" t="s">
        <v>1</v>
      </c>
      <c r="F6" s="4" t="s">
        <v>15</v>
      </c>
      <c r="G6" s="4" t="s">
        <v>2</v>
      </c>
    </row>
    <row r="7" spans="4:18" ht="23.25" x14ac:dyDescent="0.35">
      <c r="D7" s="1" t="s">
        <v>3</v>
      </c>
      <c r="E7" s="2">
        <v>0.89</v>
      </c>
      <c r="F7" s="1">
        <v>2</v>
      </c>
      <c r="G7" s="1" t="s">
        <v>37</v>
      </c>
      <c r="K7" s="5" t="s">
        <v>13</v>
      </c>
      <c r="L7" s="5"/>
      <c r="M7" s="5"/>
      <c r="N7" s="5"/>
      <c r="O7" s="5"/>
      <c r="P7" s="5"/>
      <c r="Q7" s="5"/>
      <c r="R7" s="5"/>
    </row>
    <row r="8" spans="4:18" ht="23.25" x14ac:dyDescent="0.35">
      <c r="D8" s="1" t="s">
        <v>4</v>
      </c>
      <c r="E8" s="2">
        <v>0.59</v>
      </c>
      <c r="F8" s="1">
        <v>3</v>
      </c>
      <c r="G8" s="1"/>
      <c r="K8" s="5" t="s">
        <v>14</v>
      </c>
      <c r="L8" s="5"/>
      <c r="M8" s="5"/>
      <c r="N8" s="5"/>
      <c r="O8" s="5"/>
      <c r="P8" s="5"/>
      <c r="Q8" s="5"/>
      <c r="R8" s="5"/>
    </row>
    <row r="9" spans="4:18" x14ac:dyDescent="0.25">
      <c r="D9" s="1" t="s">
        <v>5</v>
      </c>
      <c r="E9" s="2">
        <v>0.99</v>
      </c>
      <c r="F9" s="1">
        <v>4</v>
      </c>
      <c r="G9" s="1" t="str">
        <f t="shared" ref="G9:G16" si="0">IF(AND(E9&gt;80%,F9&gt;3),"5 million so'm mukofot","3 million so'm ")</f>
        <v>5 million so'm mukofot</v>
      </c>
    </row>
    <row r="10" spans="4:18" x14ac:dyDescent="0.25">
      <c r="D10" s="1" t="s">
        <v>6</v>
      </c>
      <c r="E10" s="2">
        <v>0.69</v>
      </c>
      <c r="F10" s="1">
        <v>5</v>
      </c>
      <c r="G10" s="1" t="str">
        <f t="shared" si="0"/>
        <v xml:space="preserve">3 million so'm </v>
      </c>
    </row>
    <row r="11" spans="4:18" x14ac:dyDescent="0.25">
      <c r="D11" s="1" t="s">
        <v>7</v>
      </c>
      <c r="E11" s="2">
        <v>0.59</v>
      </c>
      <c r="F11" s="1">
        <v>6</v>
      </c>
      <c r="G11" s="1" t="str">
        <f t="shared" si="0"/>
        <v xml:space="preserve">3 million so'm </v>
      </c>
    </row>
    <row r="12" spans="4:18" x14ac:dyDescent="0.25">
      <c r="D12" s="1" t="s">
        <v>8</v>
      </c>
      <c r="E12" s="2">
        <v>0.69</v>
      </c>
      <c r="F12" s="1">
        <v>7</v>
      </c>
      <c r="G12" s="1" t="str">
        <f t="shared" si="0"/>
        <v xml:space="preserve">3 million so'm </v>
      </c>
    </row>
    <row r="13" spans="4:18" x14ac:dyDescent="0.25">
      <c r="D13" s="1" t="s">
        <v>9</v>
      </c>
      <c r="E13" s="2">
        <v>0.93</v>
      </c>
      <c r="F13" s="1">
        <v>8</v>
      </c>
      <c r="G13" s="1" t="str">
        <f t="shared" si="0"/>
        <v>5 million so'm mukofot</v>
      </c>
    </row>
    <row r="14" spans="4:18" x14ac:dyDescent="0.25">
      <c r="D14" s="1" t="s">
        <v>10</v>
      </c>
      <c r="E14" s="2">
        <v>0.49</v>
      </c>
      <c r="F14" s="1">
        <v>9</v>
      </c>
      <c r="G14" s="1" t="str">
        <f t="shared" si="0"/>
        <v xml:space="preserve">3 million so'm </v>
      </c>
    </row>
    <row r="15" spans="4:18" x14ac:dyDescent="0.25">
      <c r="D15" s="1" t="s">
        <v>11</v>
      </c>
      <c r="E15" s="2">
        <v>0.91</v>
      </c>
      <c r="F15" s="1">
        <v>10</v>
      </c>
      <c r="G15" s="1" t="str">
        <f t="shared" si="0"/>
        <v>5 million so'm mukofot</v>
      </c>
    </row>
    <row r="16" spans="4:18" x14ac:dyDescent="0.25">
      <c r="D16" s="1" t="s">
        <v>12</v>
      </c>
      <c r="E16" s="2">
        <v>0.39</v>
      </c>
      <c r="F16" s="1">
        <v>11</v>
      </c>
      <c r="G16" s="1" t="str">
        <f t="shared" si="0"/>
        <v xml:space="preserve">3 million so'm 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87C3-B487-435B-8533-06CCB83067D6}">
  <dimension ref="C6:I16"/>
  <sheetViews>
    <sheetView topLeftCell="A3" zoomScale="130" zoomScaleNormal="130" workbookViewId="0">
      <selection activeCell="H8" sqref="H8"/>
    </sheetView>
  </sheetViews>
  <sheetFormatPr defaultRowHeight="15" x14ac:dyDescent="0.25"/>
  <cols>
    <col min="3" max="3" width="36.5703125" bestFit="1" customWidth="1"/>
    <col min="5" max="5" width="13.85546875" bestFit="1" customWidth="1"/>
    <col min="6" max="6" width="14.85546875" bestFit="1" customWidth="1"/>
    <col min="7" max="7" width="13.42578125" bestFit="1" customWidth="1"/>
    <col min="8" max="8" width="14.85546875" style="7" bestFit="1" customWidth="1"/>
    <col min="9" max="9" width="21.7109375" bestFit="1" customWidth="1"/>
  </cols>
  <sheetData>
    <row r="6" spans="3:9" ht="45" x14ac:dyDescent="0.25">
      <c r="C6" s="3" t="s">
        <v>0</v>
      </c>
      <c r="D6" s="4" t="s">
        <v>16</v>
      </c>
      <c r="E6" s="4" t="s">
        <v>15</v>
      </c>
      <c r="F6" s="6" t="s">
        <v>20</v>
      </c>
      <c r="G6" s="4" t="s">
        <v>2</v>
      </c>
      <c r="I6" s="9" t="s">
        <v>21</v>
      </c>
    </row>
    <row r="7" spans="3:9" x14ac:dyDescent="0.25">
      <c r="C7" s="1" t="s">
        <v>3</v>
      </c>
      <c r="D7" s="2" t="s">
        <v>17</v>
      </c>
      <c r="E7" s="1">
        <v>2</v>
      </c>
      <c r="F7" s="8">
        <v>3000000</v>
      </c>
      <c r="G7" s="1"/>
    </row>
    <row r="8" spans="3:9" x14ac:dyDescent="0.25">
      <c r="C8" s="1" t="s">
        <v>4</v>
      </c>
      <c r="D8" s="2" t="s">
        <v>18</v>
      </c>
      <c r="E8" s="1">
        <v>3</v>
      </c>
      <c r="F8" s="8">
        <v>2000000</v>
      </c>
      <c r="G8" s="1"/>
    </row>
    <row r="9" spans="3:9" x14ac:dyDescent="0.25">
      <c r="C9" s="1" t="s">
        <v>5</v>
      </c>
      <c r="D9" s="2" t="s">
        <v>17</v>
      </c>
      <c r="E9" s="1">
        <v>4</v>
      </c>
      <c r="F9" s="8">
        <v>3000000</v>
      </c>
      <c r="G9" s="1"/>
    </row>
    <row r="10" spans="3:9" x14ac:dyDescent="0.25">
      <c r="C10" s="1" t="s">
        <v>6</v>
      </c>
      <c r="D10" s="2" t="s">
        <v>19</v>
      </c>
      <c r="E10" s="1">
        <v>5</v>
      </c>
      <c r="F10" s="8">
        <v>1000000</v>
      </c>
      <c r="G10" s="1"/>
    </row>
    <row r="11" spans="3:9" x14ac:dyDescent="0.25">
      <c r="C11" s="1" t="s">
        <v>7</v>
      </c>
      <c r="D11" s="2" t="s">
        <v>17</v>
      </c>
      <c r="E11" s="1">
        <v>6</v>
      </c>
      <c r="F11" s="8">
        <v>5000000</v>
      </c>
      <c r="G11" s="1"/>
    </row>
    <row r="12" spans="3:9" x14ac:dyDescent="0.25">
      <c r="C12" s="1" t="s">
        <v>8</v>
      </c>
      <c r="D12" s="2" t="s">
        <v>19</v>
      </c>
      <c r="E12" s="1">
        <v>7</v>
      </c>
      <c r="F12" s="8">
        <v>1500000</v>
      </c>
      <c r="G12" s="1"/>
    </row>
    <row r="13" spans="3:9" x14ac:dyDescent="0.25">
      <c r="C13" s="1" t="s">
        <v>9</v>
      </c>
      <c r="D13" s="2" t="s">
        <v>18</v>
      </c>
      <c r="E13" s="1">
        <v>8</v>
      </c>
      <c r="F13" s="8">
        <v>2000000</v>
      </c>
      <c r="G13" s="1"/>
    </row>
    <row r="14" spans="3:9" x14ac:dyDescent="0.25">
      <c r="C14" s="1" t="s">
        <v>10</v>
      </c>
      <c r="D14" s="2" t="s">
        <v>17</v>
      </c>
      <c r="E14" s="1">
        <v>9</v>
      </c>
      <c r="F14" s="8">
        <v>7000000</v>
      </c>
      <c r="G14" s="1"/>
    </row>
    <row r="15" spans="3:9" x14ac:dyDescent="0.25">
      <c r="C15" s="1" t="s">
        <v>11</v>
      </c>
      <c r="D15" s="2" t="s">
        <v>19</v>
      </c>
      <c r="E15" s="1">
        <v>10</v>
      </c>
      <c r="F15" s="8">
        <v>800000</v>
      </c>
      <c r="G15" s="1"/>
    </row>
    <row r="16" spans="3:9" x14ac:dyDescent="0.25">
      <c r="C16" s="1" t="s">
        <v>12</v>
      </c>
      <c r="D16" s="2" t="s">
        <v>19</v>
      </c>
      <c r="E16" s="1">
        <v>11</v>
      </c>
      <c r="F16" s="8">
        <v>1300000</v>
      </c>
      <c r="G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A88D-AAB9-4F85-AD94-5D789667179E}">
  <dimension ref="A3:C24"/>
  <sheetViews>
    <sheetView topLeftCell="A3" workbookViewId="0">
      <selection activeCell="A3" sqref="A3:C24"/>
    </sheetView>
  </sheetViews>
  <sheetFormatPr defaultRowHeight="15" x14ac:dyDescent="0.25"/>
  <cols>
    <col min="1" max="1" width="39" bestFit="1" customWidth="1"/>
    <col min="2" max="2" width="23" bestFit="1" customWidth="1"/>
    <col min="3" max="3" width="20" bestFit="1" customWidth="1"/>
  </cols>
  <sheetData>
    <row r="3" spans="1:3" x14ac:dyDescent="0.25">
      <c r="A3" s="16" t="s">
        <v>36</v>
      </c>
      <c r="B3" t="s">
        <v>33</v>
      </c>
      <c r="C3" t="s">
        <v>34</v>
      </c>
    </row>
    <row r="4" spans="1:3" x14ac:dyDescent="0.25">
      <c r="A4" s="17" t="s">
        <v>7</v>
      </c>
      <c r="B4">
        <v>6699</v>
      </c>
      <c r="C4">
        <v>9738</v>
      </c>
    </row>
    <row r="5" spans="1:3" x14ac:dyDescent="0.25">
      <c r="A5" s="18">
        <v>0.68792359827479976</v>
      </c>
      <c r="B5">
        <v>6699</v>
      </c>
      <c r="C5">
        <v>9738</v>
      </c>
    </row>
    <row r="6" spans="1:3" x14ac:dyDescent="0.25">
      <c r="A6" s="17" t="s">
        <v>3</v>
      </c>
      <c r="B6">
        <v>7329</v>
      </c>
      <c r="C6">
        <v>16026</v>
      </c>
    </row>
    <row r="7" spans="1:3" x14ac:dyDescent="0.25">
      <c r="A7" s="18">
        <v>0.45731935604642454</v>
      </c>
      <c r="B7">
        <v>7329</v>
      </c>
      <c r="C7">
        <v>16026</v>
      </c>
    </row>
    <row r="8" spans="1:3" x14ac:dyDescent="0.25">
      <c r="A8" s="17" t="s">
        <v>5</v>
      </c>
      <c r="B8">
        <v>16269</v>
      </c>
      <c r="C8">
        <v>39732</v>
      </c>
    </row>
    <row r="9" spans="1:3" x14ac:dyDescent="0.25">
      <c r="A9" s="18">
        <v>0.40946843853820597</v>
      </c>
      <c r="B9">
        <v>16269</v>
      </c>
      <c r="C9">
        <v>39732</v>
      </c>
    </row>
    <row r="10" spans="1:3" x14ac:dyDescent="0.25">
      <c r="A10" s="17" t="s">
        <v>4</v>
      </c>
      <c r="B10">
        <v>12996</v>
      </c>
      <c r="C10">
        <v>13029</v>
      </c>
    </row>
    <row r="11" spans="1:3" x14ac:dyDescent="0.25">
      <c r="A11" s="18">
        <v>0.99746718857932304</v>
      </c>
      <c r="B11">
        <v>12996</v>
      </c>
      <c r="C11">
        <v>13029</v>
      </c>
    </row>
    <row r="12" spans="1:3" x14ac:dyDescent="0.25">
      <c r="A12" s="17" t="s">
        <v>11</v>
      </c>
      <c r="B12">
        <v>132996</v>
      </c>
    </row>
    <row r="13" spans="1:3" x14ac:dyDescent="0.25">
      <c r="A13" s="18" t="s">
        <v>35</v>
      </c>
      <c r="B13">
        <v>132996</v>
      </c>
    </row>
    <row r="14" spans="1:3" x14ac:dyDescent="0.25">
      <c r="A14" s="17" t="s">
        <v>8</v>
      </c>
      <c r="B14">
        <v>699</v>
      </c>
      <c r="C14">
        <v>37041</v>
      </c>
    </row>
    <row r="15" spans="1:3" x14ac:dyDescent="0.25">
      <c r="A15" s="18">
        <v>1.8870980805053859E-2</v>
      </c>
      <c r="B15">
        <v>699</v>
      </c>
      <c r="C15">
        <v>37041</v>
      </c>
    </row>
    <row r="16" spans="1:3" x14ac:dyDescent="0.25">
      <c r="A16" s="17" t="s">
        <v>12</v>
      </c>
      <c r="B16">
        <v>1333635</v>
      </c>
    </row>
    <row r="17" spans="1:3" x14ac:dyDescent="0.25">
      <c r="A17" s="18" t="s">
        <v>35</v>
      </c>
      <c r="B17">
        <v>1333635</v>
      </c>
    </row>
    <row r="18" spans="1:3" x14ac:dyDescent="0.25">
      <c r="A18" s="17" t="s">
        <v>10</v>
      </c>
      <c r="B18">
        <v>102975</v>
      </c>
    </row>
    <row r="19" spans="1:3" x14ac:dyDescent="0.25">
      <c r="A19" s="18" t="s">
        <v>35</v>
      </c>
      <c r="B19">
        <v>102975</v>
      </c>
    </row>
    <row r="20" spans="1:3" x14ac:dyDescent="0.25">
      <c r="A20" s="17" t="s">
        <v>9</v>
      </c>
      <c r="B20">
        <v>4596</v>
      </c>
      <c r="C20">
        <v>135744</v>
      </c>
    </row>
    <row r="21" spans="1:3" x14ac:dyDescent="0.25">
      <c r="A21" s="18">
        <v>3.3857850070721361E-2</v>
      </c>
      <c r="B21">
        <v>4596</v>
      </c>
      <c r="C21">
        <v>135744</v>
      </c>
    </row>
    <row r="22" spans="1:3" x14ac:dyDescent="0.25">
      <c r="A22" s="17" t="s">
        <v>6</v>
      </c>
      <c r="B22">
        <v>10864</v>
      </c>
      <c r="C22">
        <v>1668270</v>
      </c>
    </row>
    <row r="23" spans="1:3" x14ac:dyDescent="0.25">
      <c r="A23" s="18">
        <v>6.5121353258165643E-3</v>
      </c>
      <c r="B23">
        <v>10864</v>
      </c>
      <c r="C23">
        <v>1668270</v>
      </c>
    </row>
    <row r="24" spans="1:3" x14ac:dyDescent="0.25">
      <c r="A24" s="17" t="s">
        <v>32</v>
      </c>
      <c r="B24">
        <v>1629058</v>
      </c>
      <c r="C24">
        <v>1919580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7040-562A-44B6-89DC-5E2D150772E3}">
  <dimension ref="G3:J32"/>
  <sheetViews>
    <sheetView tabSelected="1" zoomScale="130" zoomScaleNormal="130" workbookViewId="0">
      <selection activeCell="M20" sqref="M20"/>
    </sheetView>
  </sheetViews>
  <sheetFormatPr defaultRowHeight="15" x14ac:dyDescent="0.25"/>
  <cols>
    <col min="7" max="7" width="36.5703125" bestFit="1" customWidth="1"/>
    <col min="8" max="8" width="8.42578125" style="10" bestFit="1" customWidth="1"/>
    <col min="9" max="9" width="8.140625" bestFit="1" customWidth="1"/>
    <col min="10" max="10" width="13.42578125" style="13" bestFit="1" customWidth="1"/>
  </cols>
  <sheetData>
    <row r="3" spans="7:10" ht="45" x14ac:dyDescent="0.25">
      <c r="G3" s="3" t="s">
        <v>0</v>
      </c>
      <c r="H3" s="11" t="s">
        <v>22</v>
      </c>
      <c r="I3" s="4" t="s">
        <v>23</v>
      </c>
      <c r="J3" s="14" t="s">
        <v>38</v>
      </c>
    </row>
    <row r="4" spans="7:10" x14ac:dyDescent="0.25">
      <c r="G4" s="1" t="s">
        <v>3</v>
      </c>
      <c r="H4" s="12">
        <v>5342</v>
      </c>
      <c r="I4" s="1">
        <v>2443</v>
      </c>
      <c r="J4" s="2"/>
    </row>
    <row r="5" spans="7:10" x14ac:dyDescent="0.25">
      <c r="G5" s="1" t="s">
        <v>4</v>
      </c>
      <c r="H5" s="12">
        <v>4343</v>
      </c>
      <c r="I5" s="1">
        <v>4332</v>
      </c>
      <c r="J5" s="2"/>
    </row>
    <row r="6" spans="7:10" x14ac:dyDescent="0.25">
      <c r="G6" s="1" t="s">
        <v>5</v>
      </c>
      <c r="H6" s="12">
        <v>13244</v>
      </c>
      <c r="I6" s="1">
        <v>5423</v>
      </c>
      <c r="J6" s="2"/>
    </row>
    <row r="7" spans="7:10" x14ac:dyDescent="0.25">
      <c r="G7" s="1" t="s">
        <v>7</v>
      </c>
      <c r="H7" s="12">
        <v>3246</v>
      </c>
      <c r="I7" s="1">
        <v>2233</v>
      </c>
      <c r="J7" s="2"/>
    </row>
    <row r="8" spans="7:10" x14ac:dyDescent="0.25">
      <c r="G8" s="1" t="s">
        <v>8</v>
      </c>
      <c r="H8" s="12">
        <v>12347</v>
      </c>
      <c r="I8" s="1">
        <v>233</v>
      </c>
      <c r="J8" s="2"/>
    </row>
    <row r="9" spans="7:10" x14ac:dyDescent="0.25">
      <c r="G9" s="1" t="s">
        <v>9</v>
      </c>
      <c r="H9" s="12">
        <v>45248</v>
      </c>
      <c r="I9" s="1">
        <v>1532</v>
      </c>
      <c r="J9" s="2"/>
    </row>
    <row r="10" spans="7:10" x14ac:dyDescent="0.25">
      <c r="G10" s="1" t="s">
        <v>10</v>
      </c>
      <c r="H10" s="12"/>
      <c r="I10" s="1">
        <v>34325</v>
      </c>
      <c r="J10" s="2"/>
    </row>
    <row r="11" spans="7:10" x14ac:dyDescent="0.25">
      <c r="G11" s="1" t="s">
        <v>11</v>
      </c>
      <c r="H11" s="12"/>
      <c r="I11" s="1">
        <v>44332</v>
      </c>
      <c r="J11" s="2"/>
    </row>
    <row r="12" spans="7:10" x14ac:dyDescent="0.25">
      <c r="G12" s="1" t="s">
        <v>12</v>
      </c>
      <c r="H12" s="12"/>
      <c r="I12" s="1">
        <v>444545</v>
      </c>
      <c r="J12" s="2"/>
    </row>
    <row r="13" spans="7:10" x14ac:dyDescent="0.25">
      <c r="G13" s="1" t="s">
        <v>3</v>
      </c>
      <c r="H13" s="12">
        <v>5342</v>
      </c>
      <c r="I13" s="1">
        <v>2443</v>
      </c>
      <c r="J13" s="2"/>
    </row>
    <row r="14" spans="7:10" x14ac:dyDescent="0.25">
      <c r="G14" s="1" t="s">
        <v>4</v>
      </c>
      <c r="H14" s="12">
        <v>4343</v>
      </c>
      <c r="I14" s="1">
        <v>4332</v>
      </c>
      <c r="J14" s="2"/>
    </row>
    <row r="15" spans="7:10" x14ac:dyDescent="0.25">
      <c r="G15" s="1" t="s">
        <v>5</v>
      </c>
      <c r="H15" s="12">
        <v>13244</v>
      </c>
      <c r="I15" s="1">
        <v>5423</v>
      </c>
      <c r="J15" s="2"/>
    </row>
    <row r="16" spans="7:10" x14ac:dyDescent="0.25">
      <c r="G16" s="1" t="s">
        <v>6</v>
      </c>
      <c r="H16" s="12">
        <v>834135</v>
      </c>
      <c r="I16" s="1">
        <v>5432</v>
      </c>
      <c r="J16" s="2"/>
    </row>
    <row r="17" spans="7:10" x14ac:dyDescent="0.25">
      <c r="G17" s="1" t="s">
        <v>7</v>
      </c>
      <c r="H17" s="12">
        <v>3246</v>
      </c>
      <c r="I17" s="1">
        <v>2233</v>
      </c>
      <c r="J17" s="2"/>
    </row>
    <row r="18" spans="7:10" x14ac:dyDescent="0.25">
      <c r="G18" s="1" t="s">
        <v>8</v>
      </c>
      <c r="H18" s="12">
        <v>12347</v>
      </c>
      <c r="I18" s="1">
        <v>233</v>
      </c>
      <c r="J18" s="2"/>
    </row>
    <row r="19" spans="7:10" x14ac:dyDescent="0.25">
      <c r="G19" s="1" t="s">
        <v>9</v>
      </c>
      <c r="H19" s="12">
        <v>45248</v>
      </c>
      <c r="I19" s="1">
        <v>1532</v>
      </c>
      <c r="J19" s="2"/>
    </row>
    <row r="20" spans="7:10" x14ac:dyDescent="0.25">
      <c r="G20" s="1" t="s">
        <v>10</v>
      </c>
      <c r="H20" s="12"/>
      <c r="I20" s="1">
        <v>34325</v>
      </c>
      <c r="J20" s="2"/>
    </row>
    <row r="21" spans="7:10" x14ac:dyDescent="0.25">
      <c r="G21" s="1" t="s">
        <v>11</v>
      </c>
      <c r="H21" s="12"/>
      <c r="I21" s="1">
        <v>44332</v>
      </c>
      <c r="J21" s="2"/>
    </row>
    <row r="22" spans="7:10" x14ac:dyDescent="0.25">
      <c r="G22" s="1" t="s">
        <v>12</v>
      </c>
      <c r="H22" s="12"/>
      <c r="I22" s="1">
        <v>444545</v>
      </c>
      <c r="J22" s="2"/>
    </row>
    <row r="23" spans="7:10" x14ac:dyDescent="0.25">
      <c r="G23" s="1" t="s">
        <v>3</v>
      </c>
      <c r="H23" s="12">
        <v>5342</v>
      </c>
      <c r="I23" s="1">
        <v>2443</v>
      </c>
      <c r="J23" s="2"/>
    </row>
    <row r="24" spans="7:10" x14ac:dyDescent="0.25">
      <c r="G24" s="1" t="s">
        <v>4</v>
      </c>
      <c r="H24" s="12">
        <v>4343</v>
      </c>
      <c r="I24" s="1">
        <v>4332</v>
      </c>
      <c r="J24" s="2"/>
    </row>
    <row r="25" spans="7:10" x14ac:dyDescent="0.25">
      <c r="G25" s="1" t="s">
        <v>5</v>
      </c>
      <c r="H25" s="12">
        <v>13244</v>
      </c>
      <c r="I25" s="1">
        <v>5423</v>
      </c>
      <c r="J25" s="2"/>
    </row>
    <row r="26" spans="7:10" x14ac:dyDescent="0.25">
      <c r="G26" s="1" t="s">
        <v>6</v>
      </c>
      <c r="H26" s="12">
        <v>834135</v>
      </c>
      <c r="I26" s="1">
        <v>5432</v>
      </c>
      <c r="J26" s="2"/>
    </row>
    <row r="27" spans="7:10" x14ac:dyDescent="0.25">
      <c r="G27" s="1" t="s">
        <v>7</v>
      </c>
      <c r="H27" s="12">
        <v>3246</v>
      </c>
      <c r="I27" s="1">
        <v>2233</v>
      </c>
      <c r="J27" s="2"/>
    </row>
    <row r="28" spans="7:10" x14ac:dyDescent="0.25">
      <c r="G28" s="1" t="s">
        <v>8</v>
      </c>
      <c r="H28" s="12">
        <v>12347</v>
      </c>
      <c r="I28" s="1">
        <v>233</v>
      </c>
      <c r="J28" s="2"/>
    </row>
    <row r="29" spans="7:10" x14ac:dyDescent="0.25">
      <c r="G29" s="1" t="s">
        <v>9</v>
      </c>
      <c r="H29" s="12">
        <v>45248</v>
      </c>
      <c r="I29" s="1">
        <v>1532</v>
      </c>
      <c r="J29" s="2"/>
    </row>
    <row r="30" spans="7:10" x14ac:dyDescent="0.25">
      <c r="G30" s="1" t="s">
        <v>10</v>
      </c>
      <c r="H30" s="12"/>
      <c r="I30" s="1">
        <v>34325</v>
      </c>
      <c r="J30" s="2"/>
    </row>
    <row r="31" spans="7:10" x14ac:dyDescent="0.25">
      <c r="G31" s="1" t="s">
        <v>11</v>
      </c>
      <c r="H31" s="12"/>
      <c r="I31" s="1">
        <v>44332</v>
      </c>
      <c r="J31" s="2"/>
    </row>
    <row r="32" spans="7:10" x14ac:dyDescent="0.25">
      <c r="G32" s="1" t="s">
        <v>12</v>
      </c>
      <c r="H32" s="12"/>
      <c r="I32" s="1">
        <v>444545</v>
      </c>
      <c r="J32" s="2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3CE9-A029-48D9-A308-E405841C2F75}">
  <dimension ref="D4:F9"/>
  <sheetViews>
    <sheetView topLeftCell="A2" workbookViewId="0">
      <selection activeCell="D18" sqref="D18"/>
    </sheetView>
  </sheetViews>
  <sheetFormatPr defaultRowHeight="15" x14ac:dyDescent="0.25"/>
  <cols>
    <col min="4" max="4" width="48" bestFit="1" customWidth="1"/>
    <col min="5" max="5" width="27.28515625" customWidth="1"/>
    <col min="6" max="6" width="16.5703125" customWidth="1"/>
  </cols>
  <sheetData>
    <row r="4" spans="4:6" x14ac:dyDescent="0.25">
      <c r="D4" s="15" t="s">
        <v>24</v>
      </c>
      <c r="E4" s="15" t="s">
        <v>25</v>
      </c>
      <c r="F4" s="15" t="s">
        <v>26</v>
      </c>
    </row>
    <row r="5" spans="4:6" x14ac:dyDescent="0.25">
      <c r="D5" s="1" t="s">
        <v>27</v>
      </c>
      <c r="E5" s="1"/>
      <c r="F5" s="1"/>
    </row>
    <row r="6" spans="4:6" x14ac:dyDescent="0.25">
      <c r="D6" s="1" t="s">
        <v>28</v>
      </c>
      <c r="E6" s="1"/>
      <c r="F6" s="1"/>
    </row>
    <row r="7" spans="4:6" x14ac:dyDescent="0.25">
      <c r="D7" s="1" t="s">
        <v>29</v>
      </c>
      <c r="E7" s="1"/>
      <c r="F7" s="1"/>
    </row>
    <row r="8" spans="4:6" x14ac:dyDescent="0.25">
      <c r="D8" s="1" t="s">
        <v>30</v>
      </c>
      <c r="E8" s="1"/>
      <c r="F8" s="1"/>
    </row>
    <row r="9" spans="4:6" x14ac:dyDescent="0.25">
      <c r="D9" s="1" t="s">
        <v>31</v>
      </c>
      <c r="E9" s="1"/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esli funksiyasi</vt:lpstr>
      <vt:lpstr>eslifunksiyasi</vt:lpstr>
      <vt:lpstr>esliili</vt:lpstr>
      <vt:lpstr>Лист2</vt:lpstr>
      <vt:lpstr>eslioshibka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DAVRONOV_UZB</dc:creator>
  <cp:lastModifiedBy>RT</cp:lastModifiedBy>
  <dcterms:created xsi:type="dcterms:W3CDTF">2015-06-05T18:17:20Z</dcterms:created>
  <dcterms:modified xsi:type="dcterms:W3CDTF">2025-02-12T04:01:23Z</dcterms:modified>
</cp:coreProperties>
</file>